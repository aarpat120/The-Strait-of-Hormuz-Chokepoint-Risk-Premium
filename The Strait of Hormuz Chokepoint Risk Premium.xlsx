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2" sheetId="2" r:id="rId6"/>
  </sheets>
  <definedNames/>
  <calcPr/>
</workbook>
</file>

<file path=xl/sharedStrings.xml><?xml version="1.0" encoding="utf-8"?>
<sst xmlns="http://schemas.openxmlformats.org/spreadsheetml/2006/main" count="37" uniqueCount="26">
  <si>
    <t xml:space="preserve">Date </t>
  </si>
  <si>
    <t>Daily Closing Price of Brent Crude</t>
  </si>
  <si>
    <t>Shipping Lanes Active (0) or blockaded (1)</t>
  </si>
  <si>
    <t>Remark</t>
  </si>
  <si>
    <t>Start of military operations</t>
  </si>
  <si>
    <t>Formal Annoucment of a blockade</t>
  </si>
  <si>
    <t>The Implementation of temperory ceasefires</t>
  </si>
  <si>
    <t>The U.S. Navy expands its enforcement zone, intercepting over 100 vessels and firing upon the Iranian tankers Sea Star III and Sevda.</t>
  </si>
  <si>
    <t>U.S. CENTCOM conducts targeted self-defense strikes to destroy active Iranian missile launch sites and fast-attack boats.</t>
  </si>
  <si>
    <t>The initial April 8 truce faces heavy strain due to daily violations and Iran's demand for a full Israeli withdrawal from Lebanon.</t>
  </si>
  <si>
    <t>Hostilities escalate following an Iranian strike on Kuwait's airport, briefly halting diplomatic peace talks.</t>
  </si>
  <si>
    <t>President Trump announces a 60-day ceasefire extension after canceling scheduled airstrikes at the last minute.</t>
  </si>
  <si>
    <t>The United States and Iran have reached a landmark interim peace agreement to end their war.</t>
  </si>
  <si>
    <t>Price jump from 0 to 1</t>
  </si>
  <si>
    <t xml:space="preserve">Average of the oil prices during the blockade was active </t>
  </si>
  <si>
    <t>Average Percentage increase added to the oil prices during the blockade</t>
  </si>
  <si>
    <t>This spreadsheet shows that wars and shipping blockades quickly push oil prices up, while peace talks help bring them down. When fighting started and shipping lanes were blocked between February and May, the price of Brent Crude oil jumped from around $72 to over $101 a barrel. Even though small fights and airport strikes caused quick price jumps in June, the market finally cooled down when a lasting 60-day ceasefire was announced. Ultimately, the data proves that global oil prices react instantly to military danger, but true financial relief only happens when countries agree to stop fighting.</t>
  </si>
  <si>
    <t>Dates</t>
  </si>
  <si>
    <t>Category</t>
  </si>
  <si>
    <t>Key Event Description</t>
  </si>
  <si>
    <t>May 6–8, 2026</t>
  </si>
  <si>
    <t>Blockade Enforcement</t>
  </si>
  <si>
    <t>Military Operations</t>
  </si>
  <si>
    <t>May 2026 (Ongoing)</t>
  </si>
  <si>
    <t>Temporary Ceasefire</t>
  </si>
  <si>
    <t>Peace Agreement to end war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</si>
</sst>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m d, yyyy"/>
  </numFmts>
  <fonts count="5">
    <font>
      <sz val="10.0"/>
      <color rgb="FF000000"/>
      <name val="Arial"/>
      <scheme val="minor"/>
    </font>
    <font>
      <b/>
      <color theme="1"/>
      <name val="Arial"/>
      <scheme val="minor"/>
    </font>
    <font>
      <color theme="1"/>
      <name val="Arial"/>
      <scheme val="minor"/>
    </font>
    <font>
      <sz val="11.0"/>
      <color theme="1"/>
      <name val="&quot;Google Sans&quot;"/>
    </font>
    <font>
      <b/>
      <sz val="11.0"/>
      <color theme="1"/>
      <name val="&quot;Google Sans&quot;"/>
    </font>
  </fonts>
  <fills count="3">
    <fill>
      <patternFill patternType="none"/>
    </fill>
    <fill>
      <patternFill patternType="lightGray"/>
    </fill>
    <fill>
      <patternFill patternType="solid">
        <fgColor rgb="FF00FF00"/>
        <bgColor rgb="FF00FF00"/>
      </patternFill>
    </fill>
  </fills>
  <borders count="3">
    <border/>
    <border>
      <left style="thin">
        <color rgb="FF000000"/>
      </left>
      <right style="thin">
        <color rgb="FF000000"/>
      </right>
      <top style="thin">
        <color rgb="FF000000"/>
      </top>
      <bottom style="thin">
        <color rgb="FF000000"/>
      </bottom>
    </border>
    <border>
      <bottom style="thin">
        <color rgb="FF363840"/>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0" fillId="0" fontId="1" numFmtId="0" xfId="0" applyAlignment="1" applyFont="1">
      <alignment horizontal="center" vertical="center"/>
    </xf>
    <xf borderId="1" fillId="0" fontId="1" numFmtId="0" xfId="0" applyAlignment="1" applyBorder="1" applyFont="1">
      <alignment horizontal="center" readingOrder="0" vertical="center"/>
    </xf>
    <xf borderId="0" fillId="0" fontId="2" numFmtId="164" xfId="0" applyAlignment="1" applyFont="1" applyNumberFormat="1">
      <alignment readingOrder="0"/>
    </xf>
    <xf borderId="0" fillId="0" fontId="2" numFmtId="0" xfId="0" applyAlignment="1" applyFont="1">
      <alignment readingOrder="0"/>
    </xf>
    <xf borderId="0" fillId="0" fontId="2" numFmtId="0" xfId="0" applyAlignment="1" applyFont="1">
      <alignment horizontal="center"/>
    </xf>
    <xf borderId="0" fillId="0" fontId="2" numFmtId="10" xfId="0" applyAlignment="1" applyFont="1" applyNumberFormat="1">
      <alignment horizontal="center"/>
    </xf>
    <xf borderId="1" fillId="0" fontId="2" numFmtId="0" xfId="0" applyAlignment="1" applyBorder="1" applyFont="1">
      <alignment readingOrder="0"/>
    </xf>
    <xf borderId="0" fillId="0" fontId="2" numFmtId="10" xfId="0" applyFont="1" applyNumberFormat="1"/>
    <xf borderId="0" fillId="0" fontId="3" numFmtId="164" xfId="0" applyAlignment="1" applyFont="1" applyNumberFormat="1">
      <alignment readingOrder="0"/>
    </xf>
    <xf borderId="1" fillId="0" fontId="3" numFmtId="0" xfId="0" applyAlignment="1" applyBorder="1" applyFont="1">
      <alignment readingOrder="0"/>
    </xf>
    <xf borderId="1" fillId="0" fontId="2" numFmtId="0" xfId="0" applyBorder="1" applyFont="1"/>
    <xf borderId="0" fillId="0" fontId="1" numFmtId="0" xfId="0" applyAlignment="1" applyFont="1">
      <alignment readingOrder="0" shrinkToFit="0" wrapText="1"/>
    </xf>
    <xf borderId="1" fillId="2" fontId="2" numFmtId="0" xfId="0" applyAlignment="1" applyBorder="1" applyFill="1" applyFont="1">
      <alignment readingOrder="0" shrinkToFit="0" wrapText="1"/>
    </xf>
    <xf borderId="1" fillId="0" fontId="2" numFmtId="0" xfId="0" applyAlignment="1" applyBorder="1" applyFont="1">
      <alignment readingOrder="0" shrinkToFit="0" wrapText="1"/>
    </xf>
    <xf borderId="2" fillId="0" fontId="4" numFmtId="0" xfId="0" applyAlignment="1" applyBorder="1" applyFont="1">
      <alignment horizontal="center" readingOrder="0"/>
    </xf>
    <xf borderId="2" fillId="0" fontId="3" numFmtId="0" xfId="0" applyAlignment="1" applyBorder="1" applyFont="1">
      <alignment readingOrder="0"/>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63"/>
    <col customWidth="1" min="2" max="2" width="28.25"/>
    <col customWidth="1" min="3" max="3" width="34.75"/>
    <col customWidth="1" min="4" max="4" width="18.5"/>
    <col customWidth="1" min="6" max="7" width="16.13"/>
    <col customWidth="1" min="8" max="8" width="109.75"/>
  </cols>
  <sheetData>
    <row r="1">
      <c r="A1" s="1" t="s">
        <v>0</v>
      </c>
      <c r="B1" s="1" t="s">
        <v>1</v>
      </c>
      <c r="C1" s="1" t="s">
        <v>2</v>
      </c>
      <c r="D1" s="2"/>
      <c r="E1" s="2"/>
      <c r="F1" s="2"/>
      <c r="G1" s="2"/>
      <c r="H1" s="3" t="s">
        <v>3</v>
      </c>
    </row>
    <row r="2">
      <c r="A2" s="4">
        <v>46081.0</v>
      </c>
      <c r="B2" s="5">
        <v>72.48</v>
      </c>
      <c r="C2" s="5">
        <v>0.0</v>
      </c>
      <c r="F2" s="6">
        <f>AVERAGEIF(C2:C100,1,B2:B100)</f>
        <v>94.24875</v>
      </c>
      <c r="G2" s="7">
        <f>(AVERAGEIF(C2:C100,1,B2:B100) - AVERAGEIF(C2:C100,0,B2:B100))/AVERAGEIF(C2:C100,0,B2:B100)</f>
        <v>0.3003414735</v>
      </c>
      <c r="H2" s="8" t="s">
        <v>4</v>
      </c>
    </row>
    <row r="3">
      <c r="A3" s="4">
        <v>46120.0</v>
      </c>
      <c r="B3" s="5">
        <v>94.75</v>
      </c>
      <c r="C3" s="5">
        <v>1.0</v>
      </c>
      <c r="D3" s="9">
        <f t="shared" ref="D3:D10" si="1">(B3-$B$2)/$B$2</f>
        <v>0.3072571744</v>
      </c>
      <c r="F3" s="9"/>
      <c r="G3" s="9"/>
      <c r="H3" s="8" t="s">
        <v>5</v>
      </c>
    </row>
    <row r="4">
      <c r="A4" s="4">
        <v>46125.0</v>
      </c>
      <c r="B4" s="5">
        <v>99.36</v>
      </c>
      <c r="C4" s="5">
        <v>1.0</v>
      </c>
      <c r="D4" s="9">
        <f t="shared" si="1"/>
        <v>0.3708609272</v>
      </c>
      <c r="H4" s="8" t="s">
        <v>6</v>
      </c>
    </row>
    <row r="5">
      <c r="A5" s="10">
        <v>46148.0</v>
      </c>
      <c r="B5" s="5">
        <v>101.27</v>
      </c>
      <c r="C5" s="5">
        <v>1.0</v>
      </c>
      <c r="D5" s="9">
        <f t="shared" si="1"/>
        <v>0.3972130243</v>
      </c>
      <c r="H5" s="11" t="s">
        <v>7</v>
      </c>
    </row>
    <row r="6">
      <c r="A6" s="10">
        <v>46167.0</v>
      </c>
      <c r="B6" s="5">
        <v>99.58</v>
      </c>
      <c r="C6" s="5">
        <v>1.0</v>
      </c>
      <c r="D6" s="9">
        <f t="shared" si="1"/>
        <v>0.3738962472</v>
      </c>
      <c r="H6" s="11" t="s">
        <v>8</v>
      </c>
    </row>
    <row r="7">
      <c r="A7" s="10">
        <v>46171.0</v>
      </c>
      <c r="B7" s="5">
        <v>92.05</v>
      </c>
      <c r="C7" s="5">
        <v>1.0</v>
      </c>
      <c r="D7" s="9">
        <f t="shared" si="1"/>
        <v>0.2700055188</v>
      </c>
      <c r="H7" s="11" t="s">
        <v>9</v>
      </c>
    </row>
    <row r="8">
      <c r="A8" s="10">
        <v>46175.0</v>
      </c>
      <c r="B8" s="5">
        <v>96.0</v>
      </c>
      <c r="C8" s="5">
        <v>1.0</v>
      </c>
      <c r="D8" s="9">
        <f t="shared" si="1"/>
        <v>0.3245033113</v>
      </c>
      <c r="H8" s="11" t="s">
        <v>10</v>
      </c>
    </row>
    <row r="9">
      <c r="A9" s="10">
        <v>46184.0</v>
      </c>
      <c r="B9" s="5">
        <v>90.38</v>
      </c>
      <c r="C9" s="5">
        <v>1.0</v>
      </c>
      <c r="D9" s="9">
        <f t="shared" si="1"/>
        <v>0.2469646799</v>
      </c>
      <c r="H9" s="11" t="s">
        <v>11</v>
      </c>
    </row>
    <row r="10">
      <c r="A10" s="4">
        <v>46188.0</v>
      </c>
      <c r="B10" s="5">
        <v>80.6</v>
      </c>
      <c r="C10" s="5">
        <v>1.0</v>
      </c>
      <c r="D10" s="9">
        <f t="shared" si="1"/>
        <v>0.1120309051</v>
      </c>
      <c r="H10" s="8" t="s">
        <v>12</v>
      </c>
    </row>
    <row r="11">
      <c r="H11" s="12"/>
    </row>
    <row r="12">
      <c r="D12" s="1" t="s">
        <v>13</v>
      </c>
      <c r="F12" s="13" t="s">
        <v>14</v>
      </c>
      <c r="G12" s="13" t="s">
        <v>15</v>
      </c>
      <c r="H12" s="14" t="s">
        <v>16</v>
      </c>
    </row>
    <row r="13">
      <c r="H13" s="12"/>
    </row>
    <row r="14">
      <c r="H14" s="12"/>
    </row>
    <row r="15">
      <c r="H15" s="1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75"/>
    <col customWidth="1" min="2" max="2" width="33.63"/>
    <col customWidth="1" min="3" max="3" width="108.75"/>
  </cols>
  <sheetData>
    <row r="1">
      <c r="A1" s="16" t="s">
        <v>17</v>
      </c>
      <c r="B1" s="16" t="s">
        <v>18</v>
      </c>
      <c r="C1" s="16" t="s">
        <v>19</v>
      </c>
    </row>
    <row r="2">
      <c r="A2" s="4">
        <v>46081.0</v>
      </c>
      <c r="B2" s="5" t="s">
        <v>4</v>
      </c>
      <c r="C2" s="17"/>
    </row>
    <row r="3">
      <c r="A3" s="4">
        <v>46120.0</v>
      </c>
      <c r="B3" s="5" t="s">
        <v>5</v>
      </c>
      <c r="C3" s="17"/>
    </row>
    <row r="4">
      <c r="A4" s="4">
        <v>46125.0</v>
      </c>
      <c r="B4" s="5" t="s">
        <v>6</v>
      </c>
      <c r="C4" s="17"/>
    </row>
    <row r="5">
      <c r="A5" s="18" t="s">
        <v>20</v>
      </c>
      <c r="B5" s="18" t="s">
        <v>21</v>
      </c>
      <c r="C5" s="17" t="s">
        <v>7</v>
      </c>
    </row>
    <row r="6">
      <c r="A6" s="10">
        <v>46167.0</v>
      </c>
      <c r="B6" s="18" t="s">
        <v>22</v>
      </c>
      <c r="C6" s="17" t="s">
        <v>8</v>
      </c>
    </row>
    <row r="7">
      <c r="A7" s="18" t="s">
        <v>23</v>
      </c>
      <c r="B7" s="18" t="s">
        <v>24</v>
      </c>
      <c r="C7" s="17" t="s">
        <v>9</v>
      </c>
    </row>
    <row r="8">
      <c r="A8" s="10">
        <v>46175.0</v>
      </c>
      <c r="B8" s="18" t="s">
        <v>22</v>
      </c>
      <c r="C8" s="17" t="s">
        <v>10</v>
      </c>
    </row>
    <row r="9">
      <c r="A9" s="10">
        <v>46184.0</v>
      </c>
      <c r="B9" s="18" t="s">
        <v>24</v>
      </c>
      <c r="C9" s="18" t="s">
        <v>11</v>
      </c>
    </row>
    <row r="10">
      <c r="A10" s="4">
        <v>46188.0</v>
      </c>
      <c r="B10" s="5" t="s">
        <v>25</v>
      </c>
      <c r="C10" s="5" t="s">
        <v>12</v>
      </c>
    </row>
  </sheetData>
  <drawing r:id="rId1"/>
</worksheet>
</file>